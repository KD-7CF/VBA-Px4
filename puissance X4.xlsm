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vreimsfr-my.sharepoint.com/personal/kim-davy_ndayongeje_etudiant_univ-reims_fr/Documents/Documents/PROG/VBA/PUISSANCE 4/"/>
    </mc:Choice>
  </mc:AlternateContent>
  <xr:revisionPtr revIDLastSave="116679" documentId="8_{A5929188-0D0D-4D17-9B9E-B8E3A8FDC08C}" xr6:coauthVersionLast="47" xr6:coauthVersionMax="47" xr10:uidLastSave="{46A8712D-2FB1-467B-B08D-9003EC27A5D3}"/>
  <bookViews>
    <workbookView minimized="1" xWindow="1035" yWindow="2175" windowWidth="13920" windowHeight="10350" xr2:uid="{99449640-64DF-4F7D-888C-EF0CFFE03FD1}"/>
  </bookViews>
  <sheets>
    <sheet name="Scree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4" i="1" l="1"/>
  <c r="I12" i="1" s="1"/>
  <c r="J14" i="1"/>
  <c r="J12" i="1" s="1"/>
  <c r="K14" i="1"/>
  <c r="K12" i="1" s="1"/>
  <c r="L14" i="1"/>
  <c r="L13" i="1" s="1"/>
  <c r="M14" i="1"/>
  <c r="M12" i="1" s="1"/>
  <c r="N14" i="1"/>
  <c r="N12" i="1" s="1"/>
  <c r="H14" i="1"/>
  <c r="H12" i="1" s="1"/>
  <c r="O15" i="1"/>
  <c r="P15" i="1" s="1"/>
  <c r="O16" i="1"/>
  <c r="Q16" i="1" s="1"/>
  <c r="O17" i="1"/>
  <c r="Q17" i="1" s="1"/>
  <c r="O18" i="1"/>
  <c r="P18" i="1" s="1"/>
  <c r="O19" i="1"/>
  <c r="Q19" i="1" s="1"/>
  <c r="O20" i="1"/>
  <c r="P20" i="1" s="1"/>
  <c r="V18" i="1"/>
  <c r="T18" i="1" s="1"/>
  <c r="V15" i="1"/>
  <c r="T15" i="1" s="1"/>
  <c r="W16" i="1"/>
  <c r="X16" i="1" s="1"/>
  <c r="W15" i="1"/>
  <c r="Y15" i="1" s="1"/>
  <c r="W20" i="1"/>
  <c r="Y20" i="1" s="1"/>
  <c r="W19" i="1"/>
  <c r="X19" i="1" s="1"/>
  <c r="W18" i="1"/>
  <c r="X18" i="1" s="1"/>
  <c r="W17" i="1"/>
  <c r="X17" i="1" s="1"/>
  <c r="V16" i="1"/>
  <c r="U16" i="1" s="1"/>
  <c r="V17" i="1"/>
  <c r="U17" i="1" s="1"/>
  <c r="V19" i="1"/>
  <c r="T19" i="1" s="1"/>
  <c r="V20" i="1"/>
  <c r="T20" i="1" s="1"/>
  <c r="T17" i="1" l="1"/>
  <c r="X15" i="1"/>
  <c r="Y18" i="1"/>
  <c r="T16" i="1"/>
  <c r="Y19" i="1"/>
  <c r="X20" i="1"/>
  <c r="Y17" i="1"/>
  <c r="U15" i="1"/>
  <c r="Y16" i="1"/>
  <c r="U20" i="1"/>
  <c r="U19" i="1"/>
  <c r="U18" i="1"/>
  <c r="P19" i="1"/>
  <c r="P17" i="1"/>
  <c r="P16" i="1"/>
  <c r="Q15" i="1"/>
  <c r="Q20" i="1"/>
  <c r="Q18" i="1"/>
  <c r="L12" i="1"/>
  <c r="H13" i="1"/>
  <c r="N13" i="1"/>
  <c r="M13" i="1"/>
  <c r="K13" i="1"/>
  <c r="J13" i="1"/>
  <c r="I13" i="1"/>
  <c r="S12" i="1" l="1"/>
  <c r="R12" i="1"/>
</calcChain>
</file>

<file path=xl/sharedStrings.xml><?xml version="1.0" encoding="utf-8"?>
<sst xmlns="http://schemas.openxmlformats.org/spreadsheetml/2006/main" count="51" uniqueCount="14">
  <si>
    <t></t>
  </si>
  <si>
    <t>Gamer  2</t>
  </si>
  <si>
    <t>Gamer  1</t>
  </si>
  <si>
    <t xml:space="preserve"> </t>
  </si>
  <si>
    <t>­•</t>
  </si>
  <si>
    <t>⬤</t>
  </si>
  <si>
    <t>H</t>
  </si>
  <si>
    <t>V</t>
  </si>
  <si>
    <t>DD</t>
  </si>
  <si>
    <t>DG</t>
  </si>
  <si>
    <t xml:space="preserve">Score </t>
  </si>
  <si>
    <t>J2</t>
  </si>
  <si>
    <t>J1</t>
  </si>
  <si>
    <t>I5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</si>
</sst>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0000455]0"/>
  </numFmts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20"/>
      <color rgb="FFFF0000"/>
      <name val="Bauhaus 93"/>
      <family val="5"/>
    </font>
    <font>
      <sz val="20"/>
      <color rgb="FF0070C0"/>
      <name val="Bauhaus 93"/>
      <family val="5"/>
    </font>
    <font>
      <sz val="36"/>
      <color rgb="FFFF0000"/>
      <name val="Bauhaus 93"/>
      <family val="5"/>
    </font>
    <font>
      <sz val="8"/>
      <name val="Calibri"/>
      <family val="2"/>
      <scheme val="minor"/>
    </font>
    <font>
      <sz val="45"/>
      <color rgb="FFFF0000"/>
      <name val="Broadway"/>
      <family val="5"/>
    </font>
    <font>
      <sz val="11"/>
      <name val="Wingdings 2"/>
      <family val="1"/>
      <charset val="2"/>
    </font>
    <font>
      <sz val="20"/>
      <color rgb="FF0000FF"/>
      <name val="Bauhaus 93"/>
      <family val="5"/>
    </font>
    <font>
      <sz val="36"/>
      <color rgb="FFFF0000"/>
      <name val="Calibri"/>
      <family val="2"/>
      <scheme val="minor"/>
    </font>
    <font>
      <sz val="12"/>
      <name val="Calibri"/>
      <family val="2"/>
      <scheme val="minor"/>
    </font>
    <font>
      <sz val="45"/>
      <color rgb="FFFF0000"/>
      <name val="Calibri"/>
      <family val="2"/>
    </font>
    <font>
      <sz val="50"/>
      <color rgb="FFFF0000"/>
      <name val="Calibri"/>
      <family val="2"/>
      <scheme val="minor"/>
    </font>
    <font>
      <sz val="50"/>
      <color rgb="FF0000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41414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282828"/>
        <bgColor indexed="64"/>
      </patternFill>
    </fill>
  </fills>
  <borders count="1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indexed="64"/>
      </left>
      <right style="thin">
        <color theme="0"/>
      </right>
      <top style="thick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indexed="64"/>
      </top>
      <bottom style="thin">
        <color theme="0"/>
      </bottom>
      <diagonal/>
    </border>
    <border>
      <left style="thin">
        <color theme="0"/>
      </left>
      <right style="thick">
        <color indexed="64"/>
      </right>
      <top style="thick">
        <color indexed="64"/>
      </top>
      <bottom style="thin">
        <color theme="0"/>
      </bottom>
      <diagonal/>
    </border>
    <border>
      <left style="thick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ck">
        <color indexed="64"/>
      </right>
      <top style="thin">
        <color theme="0"/>
      </top>
      <bottom style="thin">
        <color theme="0"/>
      </bottom>
      <diagonal/>
    </border>
    <border>
      <left style="thick">
        <color indexed="64"/>
      </left>
      <right style="thin">
        <color theme="0"/>
      </right>
      <top style="thin">
        <color theme="0"/>
      </top>
      <bottom style="thick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indexed="64"/>
      </bottom>
      <diagonal/>
    </border>
    <border>
      <left style="thin">
        <color theme="0"/>
      </left>
      <right style="thick">
        <color indexed="64"/>
      </right>
      <top style="thin">
        <color theme="0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5" fillId="2" borderId="0" xfId="0" applyFont="1" applyFill="1" applyAlignment="1">
      <alignment horizontal="center" vertical="center"/>
    </xf>
    <xf numFmtId="0" fontId="8" fillId="2" borderId="0" xfId="0" applyFont="1" applyFill="1"/>
    <xf numFmtId="0" fontId="2" fillId="2" borderId="0" xfId="0" applyFont="1" applyFill="1" applyBorder="1" applyProtection="1"/>
    <xf numFmtId="0" fontId="2" fillId="2" borderId="0" xfId="0" applyFont="1" applyFill="1" applyAlignment="1">
      <alignment vertical="top"/>
    </xf>
    <xf numFmtId="0" fontId="2" fillId="2" borderId="0" xfId="0" applyFont="1" applyFill="1" applyAlignment="1">
      <alignment vertical="center"/>
    </xf>
    <xf numFmtId="0" fontId="10" fillId="2" borderId="0" xfId="0" applyFont="1" applyFill="1" applyBorder="1" applyAlignment="1" applyProtection="1">
      <alignment horizontal="left"/>
    </xf>
    <xf numFmtId="0" fontId="10" fillId="2" borderId="0" xfId="0" applyFont="1" applyFill="1" applyAlignment="1">
      <alignment horizontal="left"/>
    </xf>
    <xf numFmtId="0" fontId="11" fillId="2" borderId="0" xfId="0" applyFont="1" applyFill="1"/>
    <xf numFmtId="0" fontId="2" fillId="2" borderId="0" xfId="0" applyFont="1" applyFill="1" applyAlignment="1">
      <alignment horizontal="center"/>
    </xf>
    <xf numFmtId="0" fontId="14" fillId="3" borderId="1" xfId="0" applyFont="1" applyFill="1" applyBorder="1" applyAlignment="1" applyProtection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3" borderId="3" xfId="0" applyFont="1" applyFill="1" applyBorder="1" applyAlignment="1" applyProtection="1">
      <alignment horizontal="center" vertical="center"/>
    </xf>
    <xf numFmtId="0" fontId="13" fillId="3" borderId="8" xfId="0" applyFont="1" applyFill="1" applyBorder="1" applyAlignment="1" applyProtection="1">
      <alignment horizontal="center" vertical="center"/>
    </xf>
    <xf numFmtId="0" fontId="13" fillId="3" borderId="1" xfId="0" applyFont="1" applyFill="1" applyBorder="1" applyAlignment="1" applyProtection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0" fillId="2" borderId="0" xfId="0" applyFont="1" applyFill="1" applyBorder="1"/>
    <xf numFmtId="0" fontId="1" fillId="2" borderId="10" xfId="0" applyFont="1" applyFill="1" applyBorder="1"/>
    <xf numFmtId="0" fontId="1" fillId="2" borderId="13" xfId="0" applyFont="1" applyFill="1" applyBorder="1"/>
    <xf numFmtId="0" fontId="1" fillId="2" borderId="13" xfId="0" applyFont="1" applyFill="1" applyBorder="1" applyProtection="1"/>
    <xf numFmtId="0" fontId="1" fillId="2" borderId="11" xfId="0" applyFont="1" applyFill="1" applyBorder="1"/>
    <xf numFmtId="0" fontId="1" fillId="2" borderId="12" xfId="0" applyFont="1" applyFill="1" applyBorder="1" applyProtection="1"/>
    <xf numFmtId="0" fontId="1" fillId="2" borderId="10" xfId="0" applyFont="1" applyFill="1" applyBorder="1" applyProtection="1"/>
    <xf numFmtId="0" fontId="1" fillId="2" borderId="12" xfId="0" applyFont="1" applyFill="1" applyBorder="1"/>
    <xf numFmtId="0" fontId="13" fillId="3" borderId="6" xfId="0" applyFont="1" applyFill="1" applyBorder="1" applyAlignment="1" applyProtection="1">
      <alignment horizontal="center" vertical="center"/>
    </xf>
    <xf numFmtId="0" fontId="13" fillId="3" borderId="3" xfId="0" applyFont="1" applyFill="1" applyBorder="1" applyAlignment="1" applyProtection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14" fillId="4" borderId="0" xfId="0" applyFont="1" applyFill="1" applyBorder="1" applyAlignment="1">
      <alignment horizontal="center" vertical="center"/>
    </xf>
    <xf numFmtId="0" fontId="13" fillId="3" borderId="5" xfId="0" applyFont="1" applyFill="1" applyBorder="1" applyAlignment="1">
      <alignment horizontal="center" vertical="center"/>
    </xf>
    <xf numFmtId="0" fontId="14" fillId="3" borderId="3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 vertical="center"/>
    </xf>
    <xf numFmtId="0" fontId="14" fillId="3" borderId="2" xfId="0" applyFont="1" applyFill="1" applyBorder="1" applyAlignment="1">
      <alignment horizontal="center" vertical="center"/>
    </xf>
    <xf numFmtId="0" fontId="14" fillId="3" borderId="9" xfId="0" applyFont="1" applyFill="1" applyBorder="1" applyAlignment="1" applyProtection="1">
      <alignment horizontal="center" vertical="center"/>
    </xf>
    <xf numFmtId="0" fontId="14" fillId="3" borderId="4" xfId="0" applyFont="1" applyFill="1" applyBorder="1" applyAlignment="1" applyProtection="1">
      <alignment horizontal="center" vertical="center"/>
    </xf>
    <xf numFmtId="164" fontId="13" fillId="3" borderId="8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A0A0A"/>
      <color rgb="FF141414"/>
      <color rgb="FF282828"/>
      <color rgb="FF0000FF"/>
      <color rgb="FF0F0F0F"/>
      <color rgb="FF323232"/>
      <color rgb="FF1E1E1E"/>
      <color rgb="FF1919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151007</xdr:colOff>
      <xdr:row>0</xdr:row>
      <xdr:rowOff>429785</xdr:rowOff>
    </xdr:from>
    <xdr:to>
      <xdr:col>7</xdr:col>
      <xdr:colOff>569178</xdr:colOff>
      <xdr:row>1</xdr:row>
      <xdr:rowOff>232316</xdr:rowOff>
    </xdr:to>
    <xdr:sp macro="[0]!ClickArrow1" textlink="">
      <xdr:nvSpPr>
        <xdr:cNvPr id="4" name="btn_Arrow1">
          <a:extLst>
            <a:ext uri="{FF2B5EF4-FFF2-40B4-BE49-F238E27FC236}">
              <a16:creationId xmlns:a16="http://schemas.microsoft.com/office/drawing/2014/main" id="{360A9C25-7F23-9238-03EA-562DD28C3E71}"/>
            </a:ext>
          </a:extLst>
        </xdr:cNvPr>
        <xdr:cNvSpPr/>
      </xdr:nvSpPr>
      <xdr:spPr>
        <a:xfrm>
          <a:off x="4472105" y="429785"/>
          <a:ext cx="418171" cy="441403"/>
        </a:xfrm>
        <a:prstGeom prst="downArrow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151008</xdr:colOff>
      <xdr:row>0</xdr:row>
      <xdr:rowOff>429785</xdr:rowOff>
    </xdr:from>
    <xdr:to>
      <xdr:col>8</xdr:col>
      <xdr:colOff>569179</xdr:colOff>
      <xdr:row>1</xdr:row>
      <xdr:rowOff>232316</xdr:rowOff>
    </xdr:to>
    <xdr:sp macro="[0]!ClickArrow2" textlink="">
      <xdr:nvSpPr>
        <xdr:cNvPr id="5" name="btn_Arrow2">
          <a:extLst>
            <a:ext uri="{FF2B5EF4-FFF2-40B4-BE49-F238E27FC236}">
              <a16:creationId xmlns:a16="http://schemas.microsoft.com/office/drawing/2014/main" id="{5C923BD8-0A76-4062-8E55-47EBA39A7546}"/>
            </a:ext>
          </a:extLst>
        </xdr:cNvPr>
        <xdr:cNvSpPr/>
      </xdr:nvSpPr>
      <xdr:spPr>
        <a:xfrm>
          <a:off x="5192288" y="429785"/>
          <a:ext cx="418171" cy="441403"/>
        </a:xfrm>
        <a:prstGeom prst="downArrow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151008</xdr:colOff>
      <xdr:row>0</xdr:row>
      <xdr:rowOff>429785</xdr:rowOff>
    </xdr:from>
    <xdr:to>
      <xdr:col>9</xdr:col>
      <xdr:colOff>569179</xdr:colOff>
      <xdr:row>1</xdr:row>
      <xdr:rowOff>232316</xdr:rowOff>
    </xdr:to>
    <xdr:sp macro="[0]!ClickArrow3" textlink="">
      <xdr:nvSpPr>
        <xdr:cNvPr id="6" name="btn_Arrow3">
          <a:extLst>
            <a:ext uri="{FF2B5EF4-FFF2-40B4-BE49-F238E27FC236}">
              <a16:creationId xmlns:a16="http://schemas.microsoft.com/office/drawing/2014/main" id="{547DFD19-7C2D-438F-B8CE-9BC8CD13A8B1}"/>
            </a:ext>
          </a:extLst>
        </xdr:cNvPr>
        <xdr:cNvSpPr/>
      </xdr:nvSpPr>
      <xdr:spPr>
        <a:xfrm>
          <a:off x="5912471" y="429785"/>
          <a:ext cx="418171" cy="441403"/>
        </a:xfrm>
        <a:prstGeom prst="downArrow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151008</xdr:colOff>
      <xdr:row>0</xdr:row>
      <xdr:rowOff>429785</xdr:rowOff>
    </xdr:from>
    <xdr:to>
      <xdr:col>10</xdr:col>
      <xdr:colOff>569179</xdr:colOff>
      <xdr:row>1</xdr:row>
      <xdr:rowOff>232316</xdr:rowOff>
    </xdr:to>
    <xdr:sp macro="[0]!ClickArrow4" textlink="">
      <xdr:nvSpPr>
        <xdr:cNvPr id="7" name="btn_Arrow4">
          <a:extLst>
            <a:ext uri="{FF2B5EF4-FFF2-40B4-BE49-F238E27FC236}">
              <a16:creationId xmlns:a16="http://schemas.microsoft.com/office/drawing/2014/main" id="{31EF3FB2-500E-4BEF-AC98-BC2FD551B8B7}"/>
            </a:ext>
          </a:extLst>
        </xdr:cNvPr>
        <xdr:cNvSpPr/>
      </xdr:nvSpPr>
      <xdr:spPr>
        <a:xfrm>
          <a:off x="6632654" y="429785"/>
          <a:ext cx="418171" cy="441403"/>
        </a:xfrm>
        <a:prstGeom prst="downArrow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151008</xdr:colOff>
      <xdr:row>0</xdr:row>
      <xdr:rowOff>429785</xdr:rowOff>
    </xdr:from>
    <xdr:to>
      <xdr:col>11</xdr:col>
      <xdr:colOff>569179</xdr:colOff>
      <xdr:row>1</xdr:row>
      <xdr:rowOff>232316</xdr:rowOff>
    </xdr:to>
    <xdr:sp macro="[0]!ClickArrow5" textlink="">
      <xdr:nvSpPr>
        <xdr:cNvPr id="8" name="btn_Arrow5">
          <a:extLst>
            <a:ext uri="{FF2B5EF4-FFF2-40B4-BE49-F238E27FC236}">
              <a16:creationId xmlns:a16="http://schemas.microsoft.com/office/drawing/2014/main" id="{06C997B6-C92D-4007-8E33-6F161EECAC43}"/>
            </a:ext>
          </a:extLst>
        </xdr:cNvPr>
        <xdr:cNvSpPr/>
      </xdr:nvSpPr>
      <xdr:spPr>
        <a:xfrm>
          <a:off x="7352837" y="429785"/>
          <a:ext cx="418171" cy="441403"/>
        </a:xfrm>
        <a:prstGeom prst="downArrow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151008</xdr:colOff>
      <xdr:row>0</xdr:row>
      <xdr:rowOff>429785</xdr:rowOff>
    </xdr:from>
    <xdr:to>
      <xdr:col>12</xdr:col>
      <xdr:colOff>569179</xdr:colOff>
      <xdr:row>1</xdr:row>
      <xdr:rowOff>232316</xdr:rowOff>
    </xdr:to>
    <xdr:sp macro="[0]!ClickArrow6" textlink="">
      <xdr:nvSpPr>
        <xdr:cNvPr id="9" name="btn_Arrow6">
          <a:extLst>
            <a:ext uri="{FF2B5EF4-FFF2-40B4-BE49-F238E27FC236}">
              <a16:creationId xmlns:a16="http://schemas.microsoft.com/office/drawing/2014/main" id="{858E2331-CD2C-4258-B4CB-362D362103F9}"/>
            </a:ext>
          </a:extLst>
        </xdr:cNvPr>
        <xdr:cNvSpPr/>
      </xdr:nvSpPr>
      <xdr:spPr>
        <a:xfrm>
          <a:off x="8073020" y="429785"/>
          <a:ext cx="418171" cy="441403"/>
        </a:xfrm>
        <a:prstGeom prst="downArrow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16</xdr:col>
      <xdr:colOff>66675</xdr:colOff>
      <xdr:row>2</xdr:row>
      <xdr:rowOff>418522</xdr:rowOff>
    </xdr:from>
    <xdr:to>
      <xdr:col>17</xdr:col>
      <xdr:colOff>139700</xdr:colOff>
      <xdr:row>3</xdr:row>
      <xdr:rowOff>170585</xdr:rowOff>
    </xdr:to>
    <xdr:sp macro="[0]!EventScreen.ClickSwitch" textlink="">
      <xdr:nvSpPr>
        <xdr:cNvPr id="2" name="bkgSwitch">
          <a:extLst>
            <a:ext uri="{FF2B5EF4-FFF2-40B4-BE49-F238E27FC236}">
              <a16:creationId xmlns:a16="http://schemas.microsoft.com/office/drawing/2014/main" id="{4E5B98F9-BD0D-ED3B-AB07-4C2A61198C7F}"/>
            </a:ext>
          </a:extLst>
        </xdr:cNvPr>
        <xdr:cNvSpPr/>
      </xdr:nvSpPr>
      <xdr:spPr>
        <a:xfrm>
          <a:off x="11630025" y="1694872"/>
          <a:ext cx="787400" cy="390238"/>
        </a:xfrm>
        <a:prstGeom prst="roundRect">
          <a:avLst>
            <a:gd name="adj" fmla="val 50000"/>
          </a:avLst>
        </a:prstGeom>
        <a:solidFill>
          <a:srgbClr val="282828"/>
        </a:solidFill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151007</xdr:colOff>
      <xdr:row>0</xdr:row>
      <xdr:rowOff>429785</xdr:rowOff>
    </xdr:from>
    <xdr:to>
      <xdr:col>13</xdr:col>
      <xdr:colOff>569178</xdr:colOff>
      <xdr:row>1</xdr:row>
      <xdr:rowOff>232316</xdr:rowOff>
    </xdr:to>
    <xdr:sp macro="[0]!ClickArrow7" textlink="">
      <xdr:nvSpPr>
        <xdr:cNvPr id="12" name="btn_Arrow7">
          <a:extLst>
            <a:ext uri="{FF2B5EF4-FFF2-40B4-BE49-F238E27FC236}">
              <a16:creationId xmlns:a16="http://schemas.microsoft.com/office/drawing/2014/main" id="{FEDE929F-48D5-4441-8144-BC2E97D641EF}"/>
            </a:ext>
          </a:extLst>
        </xdr:cNvPr>
        <xdr:cNvSpPr/>
      </xdr:nvSpPr>
      <xdr:spPr>
        <a:xfrm>
          <a:off x="8793202" y="429785"/>
          <a:ext cx="418171" cy="441403"/>
        </a:xfrm>
        <a:prstGeom prst="downArrow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16</xdr:col>
      <xdr:colOff>130175</xdr:colOff>
      <xdr:row>2</xdr:row>
      <xdr:rowOff>452390</xdr:rowOff>
    </xdr:from>
    <xdr:to>
      <xdr:col>16</xdr:col>
      <xdr:colOff>501566</xdr:colOff>
      <xdr:row>3</xdr:row>
      <xdr:rowOff>136716</xdr:rowOff>
    </xdr:to>
    <xdr:sp macro="[0]!EventScreen.ClickSwitch" textlink="">
      <xdr:nvSpPr>
        <xdr:cNvPr id="3" name="tglSwitch">
          <a:extLst>
            <a:ext uri="{FF2B5EF4-FFF2-40B4-BE49-F238E27FC236}">
              <a16:creationId xmlns:a16="http://schemas.microsoft.com/office/drawing/2014/main" id="{9DBBFC8D-A499-529B-0667-71CAF78D7565}"/>
            </a:ext>
          </a:extLst>
        </xdr:cNvPr>
        <xdr:cNvSpPr/>
      </xdr:nvSpPr>
      <xdr:spPr>
        <a:xfrm>
          <a:off x="11712575" y="1728740"/>
          <a:ext cx="371391" cy="293926"/>
        </a:xfrm>
        <a:prstGeom prst="ellipse">
          <a:avLst/>
        </a:prstGeom>
        <a:solidFill>
          <a:srgbClr val="0A0A0A"/>
        </a:solidFill>
        <a:ln w="285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333375</xdr:colOff>
      <xdr:row>3</xdr:row>
      <xdr:rowOff>571499</xdr:rowOff>
    </xdr:from>
    <xdr:to>
      <xdr:col>18</xdr:col>
      <xdr:colOff>47626</xdr:colOff>
      <xdr:row>5</xdr:row>
      <xdr:rowOff>534737</xdr:rowOff>
    </xdr:to>
    <xdr:sp macro="[0]!ClickbtnState" textlink="">
      <xdr:nvSpPr>
        <xdr:cNvPr id="14" name="btnState">
          <a:extLst>
            <a:ext uri="{FF2B5EF4-FFF2-40B4-BE49-F238E27FC236}">
              <a16:creationId xmlns:a16="http://schemas.microsoft.com/office/drawing/2014/main" id="{5D9C7648-0F61-C79D-6D22-C30C5C8C675F}"/>
            </a:ext>
          </a:extLst>
        </xdr:cNvPr>
        <xdr:cNvSpPr/>
      </xdr:nvSpPr>
      <xdr:spPr>
        <a:xfrm>
          <a:off x="11245349" y="2476499"/>
          <a:ext cx="1869909" cy="1233238"/>
        </a:xfrm>
        <a:prstGeom prst="roundRect">
          <a:avLst>
            <a:gd name="adj" fmla="val 30953"/>
          </a:avLst>
        </a:prstGeom>
        <a:solidFill>
          <a:srgbClr val="0F0F0F"/>
        </a:solidFill>
        <a:ln w="76200">
          <a:noFill/>
        </a:ln>
        <a:effectLst>
          <a:glow rad="101600">
            <a:schemeClr val="tx1">
              <a:alpha val="60000"/>
            </a:schemeClr>
          </a:glow>
          <a:outerShdw blurRad="107950" dist="12700" dir="5400000" algn="ctr">
            <a:srgbClr val="000000"/>
          </a:outerShdw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4000">
              <a:latin typeface="Bauhaus 93" panose="04030905020B02020C02" pitchFamily="82" charset="0"/>
            </a:rPr>
            <a:t>PAUSE</a:t>
          </a:r>
        </a:p>
      </xdr:txBody>
    </xdr:sp>
    <xdr:clientData/>
  </xdr:twoCellAnchor>
  <xdr:oneCellAnchor>
    <xdr:from>
      <xdr:col>1</xdr:col>
      <xdr:colOff>419100</xdr:colOff>
      <xdr:row>1</xdr:row>
      <xdr:rowOff>609600</xdr:rowOff>
    </xdr:from>
    <xdr:ext cx="1803400" cy="963597"/>
    <xdr:sp macro="" textlink="">
      <xdr:nvSpPr>
        <xdr:cNvPr id="18" name="modeGame">
          <a:extLst>
            <a:ext uri="{FF2B5EF4-FFF2-40B4-BE49-F238E27FC236}">
              <a16:creationId xmlns:a16="http://schemas.microsoft.com/office/drawing/2014/main" id="{72946884-35E1-D570-2312-157BEC1DA4CC}"/>
            </a:ext>
          </a:extLst>
        </xdr:cNvPr>
        <xdr:cNvSpPr txBox="1"/>
      </xdr:nvSpPr>
      <xdr:spPr>
        <a:xfrm>
          <a:off x="1130300" y="1244600"/>
          <a:ext cx="1803400" cy="963597"/>
        </a:xfrm>
        <a:prstGeom prst="rect">
          <a:avLst/>
        </a:prstGeom>
        <a:solidFill>
          <a:srgbClr val="0F0F0F"/>
        </a:solidFill>
        <a:ln>
          <a:noFill/>
        </a:ln>
        <a:effectLst>
          <a:glow rad="101600">
            <a:schemeClr val="tx1">
              <a:alpha val="6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fr-FR" sz="6000">
              <a:solidFill>
                <a:schemeClr val="bg1"/>
              </a:solidFill>
              <a:latin typeface="Broadway" panose="04040905080B02020502" pitchFamily="82" charset="0"/>
            </a:rPr>
            <a:t>1</a:t>
          </a:r>
        </a:p>
      </xdr:txBody>
    </xdr:sp>
    <xdr:clientData/>
  </xdr:oneCellAnchor>
  <xdr:twoCellAnchor editAs="oneCell">
    <xdr:from>
      <xdr:col>9</xdr:col>
      <xdr:colOff>607231</xdr:colOff>
      <xdr:row>8</xdr:row>
      <xdr:rowOff>170099</xdr:rowOff>
    </xdr:from>
    <xdr:to>
      <xdr:col>11</xdr:col>
      <xdr:colOff>92882</xdr:colOff>
      <xdr:row>9</xdr:row>
      <xdr:rowOff>449499</xdr:rowOff>
    </xdr:to>
    <xdr:pic macro="[0]!ClickbtnClear">
      <xdr:nvPicPr>
        <xdr:cNvPr id="17" name="btnClear" descr="Ouverture avec un remplissage uni">
          <a:extLst>
            <a:ext uri="{FF2B5EF4-FFF2-40B4-BE49-F238E27FC236}">
              <a16:creationId xmlns:a16="http://schemas.microsoft.com/office/drawing/2014/main" id="{662A581E-C679-8ABE-B732-EFA161FF15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166218" y="5197852"/>
          <a:ext cx="908373" cy="9184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66498-A6B7-40E0-A3DD-6E4EA89ABD85}">
  <sheetPr codeName="Feuil1"/>
  <dimension ref="A1:AA20"/>
  <sheetViews>
    <sheetView showGridLines="0" tabSelected="1" topLeftCell="B1" zoomScale="60" zoomScaleNormal="60" workbookViewId="0">
      <selection activeCell="N6" sqref="N6"/>
    </sheetView>
  </sheetViews>
  <sheetFormatPr baseColWidth="10" defaultColWidth="10.7109375" defaultRowHeight="50.25" customHeight="1" x14ac:dyDescent="0.25"/>
  <cols>
    <col min="1" max="4" width="10.7109375" style="2"/>
    <col min="5" max="5" width="13" style="2" bestFit="1" customWidth="1"/>
    <col min="6" max="7" width="10.7109375" style="2"/>
    <col min="8" max="8" width="10.7109375" style="2" customWidth="1"/>
    <col min="9" max="16384" width="10.7109375" style="2"/>
  </cols>
  <sheetData>
    <row r="1" spans="1:27" ht="50.25" customHeight="1" x14ac:dyDescent="0.25">
      <c r="A1" s="1" t="b">
        <v>0</v>
      </c>
      <c r="B1" s="1">
        <v>7</v>
      </c>
      <c r="C1" s="1" t="s">
        <v>13</v>
      </c>
    </row>
    <row r="2" spans="1:27" ht="50.25" customHeight="1" thickBot="1" x14ac:dyDescent="0.3">
      <c r="E2" s="7"/>
      <c r="S2" s="7"/>
    </row>
    <row r="3" spans="1:27" ht="48" customHeight="1" thickTop="1" x14ac:dyDescent="0.25">
      <c r="B3" s="34" t="s">
        <v>4</v>
      </c>
      <c r="C3" s="35"/>
      <c r="D3" s="35"/>
      <c r="E3" s="35"/>
      <c r="G3" s="13"/>
      <c r="H3" s="41"/>
      <c r="I3" s="33"/>
      <c r="J3" s="28"/>
      <c r="K3" s="28"/>
      <c r="L3" s="28"/>
      <c r="M3" s="14"/>
      <c r="N3" s="43" t="s">
        <v>5</v>
      </c>
      <c r="U3" s="19"/>
      <c r="V3" s="19"/>
      <c r="W3" s="19"/>
      <c r="X3" s="19"/>
      <c r="Y3" s="19"/>
      <c r="Z3" s="19"/>
      <c r="AA3" s="19"/>
    </row>
    <row r="4" spans="1:27" ht="50.1" customHeight="1" x14ac:dyDescent="0.25">
      <c r="A4" s="3"/>
      <c r="B4" s="3"/>
      <c r="C4" s="3"/>
      <c r="D4" s="3"/>
      <c r="E4" s="3"/>
      <c r="F4" s="4" t="s">
        <v>3</v>
      </c>
      <c r="G4" s="13"/>
      <c r="H4" s="17"/>
      <c r="I4" s="12"/>
      <c r="J4" s="12"/>
      <c r="K4" s="12"/>
      <c r="L4" s="16" t="s">
        <v>5</v>
      </c>
      <c r="M4" s="12"/>
      <c r="N4" s="40" t="s">
        <v>5</v>
      </c>
      <c r="R4" s="11"/>
      <c r="U4" s="19"/>
      <c r="V4" s="19"/>
      <c r="W4" s="19"/>
      <c r="X4" s="19"/>
      <c r="Y4" s="19"/>
      <c r="Z4" s="19"/>
      <c r="AA4" s="19"/>
    </row>
    <row r="5" spans="1:27" ht="49.5" customHeight="1" x14ac:dyDescent="0.25">
      <c r="A5" s="1"/>
      <c r="B5" s="36" t="s">
        <v>2</v>
      </c>
      <c r="C5" s="37"/>
      <c r="D5" s="29" t="s">
        <v>5</v>
      </c>
      <c r="E5" s="18">
        <v>12</v>
      </c>
      <c r="G5" s="13"/>
      <c r="H5" s="17"/>
      <c r="I5" s="16" t="s">
        <v>5</v>
      </c>
      <c r="J5" s="12"/>
      <c r="K5" s="12"/>
      <c r="L5" s="16" t="s">
        <v>5</v>
      </c>
      <c r="M5" s="16" t="s">
        <v>5</v>
      </c>
      <c r="N5" s="27" t="s">
        <v>5</v>
      </c>
      <c r="U5" s="19"/>
      <c r="V5" s="19"/>
      <c r="W5" s="19"/>
      <c r="X5" s="19"/>
      <c r="Y5" s="19"/>
      <c r="Z5" s="19"/>
      <c r="AA5" s="19"/>
    </row>
    <row r="6" spans="1:27" ht="50.1" customHeight="1" x14ac:dyDescent="0.25">
      <c r="B6" s="38" t="s">
        <v>1</v>
      </c>
      <c r="C6" s="39"/>
      <c r="D6" s="31" t="s">
        <v>5</v>
      </c>
      <c r="E6" s="13">
        <v>0</v>
      </c>
      <c r="F6" s="6"/>
      <c r="G6" s="13"/>
      <c r="H6" s="17"/>
      <c r="I6" s="16" t="s">
        <v>5</v>
      </c>
      <c r="J6" s="16" t="s">
        <v>5</v>
      </c>
      <c r="K6" s="16" t="s">
        <v>5</v>
      </c>
      <c r="L6" s="16" t="s">
        <v>5</v>
      </c>
      <c r="M6" s="16" t="s">
        <v>5</v>
      </c>
      <c r="N6" s="40" t="s">
        <v>5</v>
      </c>
      <c r="U6" s="19"/>
      <c r="V6" s="19"/>
      <c r="W6" s="19"/>
      <c r="X6" s="19"/>
      <c r="Y6" s="19"/>
      <c r="Z6" s="19"/>
      <c r="AA6" s="19"/>
    </row>
    <row r="7" spans="1:27" ht="50.1" customHeight="1" x14ac:dyDescent="0.25">
      <c r="G7" s="13"/>
      <c r="H7" s="32" t="s">
        <v>5</v>
      </c>
      <c r="I7" s="16" t="s">
        <v>5</v>
      </c>
      <c r="J7" s="16" t="s">
        <v>5</v>
      </c>
      <c r="K7" s="16" t="s">
        <v>5</v>
      </c>
      <c r="L7" s="16" t="s">
        <v>5</v>
      </c>
      <c r="M7" s="16" t="s">
        <v>5</v>
      </c>
      <c r="N7" s="40" t="s">
        <v>5</v>
      </c>
      <c r="R7" s="10"/>
      <c r="U7" s="19"/>
      <c r="V7" s="19"/>
      <c r="W7" s="19"/>
      <c r="X7" s="19"/>
      <c r="Y7" s="19"/>
      <c r="Z7" s="19"/>
      <c r="AA7" s="19"/>
    </row>
    <row r="8" spans="1:27" ht="50.1" customHeight="1" thickBot="1" x14ac:dyDescent="0.3">
      <c r="D8" s="1"/>
      <c r="G8" s="13"/>
      <c r="H8" s="30" t="s">
        <v>5</v>
      </c>
      <c r="I8" s="44" t="s">
        <v>5</v>
      </c>
      <c r="J8" s="15" t="s">
        <v>5</v>
      </c>
      <c r="K8" s="15" t="s">
        <v>5</v>
      </c>
      <c r="L8" s="15" t="s">
        <v>5</v>
      </c>
      <c r="M8" s="15" t="s">
        <v>5</v>
      </c>
      <c r="N8" s="42" t="s">
        <v>5</v>
      </c>
      <c r="U8" s="19"/>
      <c r="V8" s="19"/>
      <c r="W8" s="19"/>
      <c r="X8" s="19"/>
      <c r="Y8" s="19"/>
      <c r="Z8" s="19"/>
      <c r="AA8" s="19"/>
    </row>
    <row r="9" spans="1:27" ht="50.25" customHeight="1" thickTop="1" x14ac:dyDescent="0.7">
      <c r="G9" s="5"/>
      <c r="H9" s="8" t="s">
        <v>0</v>
      </c>
      <c r="I9" s="5"/>
      <c r="J9" s="5"/>
      <c r="K9" s="5"/>
      <c r="L9" s="5"/>
      <c r="M9" s="5"/>
    </row>
    <row r="11" spans="1:27" ht="50.25" customHeight="1" x14ac:dyDescent="0.7">
      <c r="I11" s="9" t="s">
        <v>0</v>
      </c>
      <c r="Q11" s="20" t="s">
        <v>10</v>
      </c>
      <c r="R11" s="20" t="s">
        <v>12</v>
      </c>
      <c r="S11" s="20" t="s">
        <v>11</v>
      </c>
    </row>
    <row r="12" spans="1:27" ht="50.25" customHeight="1" x14ac:dyDescent="0.25">
      <c r="G12" s="20" t="s">
        <v>12</v>
      </c>
      <c r="H12" s="20">
        <f xml:space="preserve"> IF(ISERR(SEARCH("1111",H14,1)),0, 1)</f>
        <v>0</v>
      </c>
      <c r="I12" s="20">
        <f t="shared" ref="I12:N12" si="0" xml:space="preserve"> IF(ISERR(SEARCH("1111",I14,1)),0, 1)</f>
        <v>1</v>
      </c>
      <c r="J12" s="20">
        <f t="shared" si="0"/>
        <v>0</v>
      </c>
      <c r="K12" s="20">
        <f t="shared" si="0"/>
        <v>0</v>
      </c>
      <c r="L12" s="20">
        <f t="shared" si="0"/>
        <v>1</v>
      </c>
      <c r="M12" s="20">
        <f t="shared" si="0"/>
        <v>1</v>
      </c>
      <c r="N12" s="20">
        <f t="shared" si="0"/>
        <v>0</v>
      </c>
      <c r="R12" s="20">
        <f>SUM(H12:N12,P15:P20,T15:T20,X15:X20)</f>
        <v>12</v>
      </c>
      <c r="S12" s="20">
        <f>SUM(H13:N13,Q15:Q20,Y15:Y20)</f>
        <v>0</v>
      </c>
    </row>
    <row r="13" spans="1:27" ht="50.25" customHeight="1" x14ac:dyDescent="0.25">
      <c r="G13" s="20" t="s">
        <v>11</v>
      </c>
      <c r="H13" s="21">
        <f xml:space="preserve"> IF(ISERR(SEARCH("0000",H14,1)),0, 1)</f>
        <v>0</v>
      </c>
      <c r="I13" s="21">
        <f t="shared" ref="I13:N13" si="1" xml:space="preserve"> IF(ISERR(SEARCH("0000",I14,1)),0, 1)</f>
        <v>0</v>
      </c>
      <c r="J13" s="21">
        <f t="shared" si="1"/>
        <v>0</v>
      </c>
      <c r="K13" s="21">
        <f t="shared" si="1"/>
        <v>0</v>
      </c>
      <c r="L13" s="21">
        <f t="shared" si="1"/>
        <v>0</v>
      </c>
      <c r="M13" s="21">
        <f t="shared" si="1"/>
        <v>0</v>
      </c>
      <c r="N13" s="21">
        <f t="shared" si="1"/>
        <v>0</v>
      </c>
      <c r="V13" s="20" t="s">
        <v>9</v>
      </c>
      <c r="W13" s="20" t="s">
        <v>8</v>
      </c>
    </row>
    <row r="14" spans="1:27" ht="50.25" customHeight="1" x14ac:dyDescent="0.25">
      <c r="G14" s="20" t="s">
        <v>7</v>
      </c>
      <c r="H14" s="22" t="str">
        <f>CONCATENATE(H20,H19,H18,H17,H16,H15)</f>
        <v>11</v>
      </c>
      <c r="I14" s="22" t="str">
        <f t="shared" ref="I14:N14" si="2">CONCATENATE(I20,I19,I18,I17,I16,I15)</f>
        <v>1111</v>
      </c>
      <c r="J14" s="22" t="str">
        <f t="shared" si="2"/>
        <v>111</v>
      </c>
      <c r="K14" s="22" t="str">
        <f t="shared" si="2"/>
        <v>111</v>
      </c>
      <c r="L14" s="22" t="str">
        <f t="shared" si="2"/>
        <v>11111</v>
      </c>
      <c r="M14" s="22" t="str">
        <f t="shared" si="2"/>
        <v>1111</v>
      </c>
      <c r="N14" s="22" t="str">
        <f t="shared" si="2"/>
        <v>000100</v>
      </c>
      <c r="O14" s="23" t="s">
        <v>6</v>
      </c>
      <c r="P14" s="20" t="s">
        <v>12</v>
      </c>
      <c r="Q14" s="20" t="s">
        <v>11</v>
      </c>
      <c r="T14" s="20" t="s">
        <v>12</v>
      </c>
      <c r="U14" s="20" t="s">
        <v>11</v>
      </c>
      <c r="V14" s="20"/>
      <c r="W14" s="20"/>
      <c r="X14" s="20" t="s">
        <v>12</v>
      </c>
      <c r="Y14" s="20" t="s">
        <v>11</v>
      </c>
    </row>
    <row r="15" spans="1:27" ht="50.25" customHeight="1" x14ac:dyDescent="0.25">
      <c r="H15" s="24"/>
      <c r="I15" s="25"/>
      <c r="J15" s="25"/>
      <c r="K15" s="25"/>
      <c r="L15" s="25"/>
      <c r="M15" s="25"/>
      <c r="N15" s="25">
        <v>0</v>
      </c>
      <c r="O15" s="23" t="str">
        <f t="shared" ref="O15:O19" si="3">CONCATENATE(H15,I15,J15,K15,L15,M15,N15)</f>
        <v>0</v>
      </c>
      <c r="P15" s="26">
        <f xml:space="preserve"> IF(ISERR(SEARCH("1111",O15,1)),0, 1)</f>
        <v>0</v>
      </c>
      <c r="Q15" s="26">
        <f xml:space="preserve"> IF(ISERR(SEARCH("0000",O15,1)),0, 1)</f>
        <v>0</v>
      </c>
      <c r="T15" s="20">
        <f xml:space="preserve"> IF(ISERR(SEARCH("1111",V15,1)),0, 1)</f>
        <v>0</v>
      </c>
      <c r="U15" s="20">
        <f xml:space="preserve"> IF(ISERR(SEARCH("0000",V15,1)),0, 1)</f>
        <v>0</v>
      </c>
      <c r="V15" s="20" t="str">
        <f>CONCATENATE(K15,L16,M17,N18)</f>
        <v>110</v>
      </c>
      <c r="W15" s="20" t="str">
        <f>CONCATENATE(H18,I17,J16,K15)</f>
        <v>1</v>
      </c>
      <c r="X15" s="20">
        <f xml:space="preserve"> IF(ISERR(SEARCH("1111",W15,1)),0, 1)</f>
        <v>0</v>
      </c>
      <c r="Y15" s="20">
        <f xml:space="preserve"> IF(ISERR(SEARCH("0000",W15,1)),0, 1)</f>
        <v>0</v>
      </c>
    </row>
    <row r="16" spans="1:27" ht="50.25" customHeight="1" x14ac:dyDescent="0.25">
      <c r="H16" s="25"/>
      <c r="I16" s="25"/>
      <c r="J16" s="25"/>
      <c r="K16" s="25"/>
      <c r="L16" s="25">
        <v>1</v>
      </c>
      <c r="M16" s="25"/>
      <c r="N16" s="25">
        <v>0</v>
      </c>
      <c r="O16" s="23" t="str">
        <f t="shared" si="3"/>
        <v>10</v>
      </c>
      <c r="P16" s="26">
        <f t="shared" ref="P16:P20" si="4" xml:space="preserve"> IF(ISERR(SEARCH("1111",O16,1)),0, 1)</f>
        <v>0</v>
      </c>
      <c r="Q16" s="26">
        <f t="shared" ref="Q16:Q20" si="5" xml:space="preserve"> IF(ISERR(SEARCH("0000",O16,1)),0, 1)</f>
        <v>0</v>
      </c>
      <c r="T16" s="20">
        <f t="shared" ref="T16:T20" si="6" xml:space="preserve"> IF(ISERR(SEARCH("1111",V16,1)),0, 1)</f>
        <v>0</v>
      </c>
      <c r="U16" s="20">
        <f t="shared" ref="U16:U20" si="7" xml:space="preserve"> IF(ISERR(SEARCH("0000",V16,1)),0, 1)</f>
        <v>0</v>
      </c>
      <c r="V16" s="20" t="str">
        <f>CONCATENATE(J15,K16,L17,M18,N19)</f>
        <v>110</v>
      </c>
      <c r="W16" s="20" t="str">
        <f>CONCATENATE(H19,I18,J17,K16,L15)</f>
        <v>11</v>
      </c>
      <c r="X16" s="20">
        <f t="shared" ref="X16:X20" si="8" xml:space="preserve"> IF(ISERR(SEARCH("1111",W16,1)),0, 1)</f>
        <v>0</v>
      </c>
      <c r="Y16" s="20">
        <f t="shared" ref="Y16:Y20" si="9" xml:space="preserve"> IF(ISERR(SEARCH("0000",W16,1)),0, 1)</f>
        <v>0</v>
      </c>
    </row>
    <row r="17" spans="8:25" ht="50.25" customHeight="1" x14ac:dyDescent="0.25">
      <c r="H17" s="25"/>
      <c r="I17" s="25">
        <v>1</v>
      </c>
      <c r="J17" s="25"/>
      <c r="K17" s="25"/>
      <c r="L17" s="25">
        <v>1</v>
      </c>
      <c r="M17" s="25">
        <v>1</v>
      </c>
      <c r="N17" s="25">
        <v>1</v>
      </c>
      <c r="O17" s="23" t="str">
        <f t="shared" si="3"/>
        <v>1111</v>
      </c>
      <c r="P17" s="26">
        <f t="shared" si="4"/>
        <v>1</v>
      </c>
      <c r="Q17" s="26">
        <f t="shared" si="5"/>
        <v>0</v>
      </c>
      <c r="T17" s="20">
        <f t="shared" si="6"/>
        <v>0</v>
      </c>
      <c r="U17" s="20">
        <f t="shared" si="7"/>
        <v>0</v>
      </c>
      <c r="V17" s="20" t="str">
        <f>CONCATENATE(I15,J16,K17,L18,M19,N20)</f>
        <v>110</v>
      </c>
      <c r="W17" s="20" t="str">
        <f>CONCATENATE(H20,I19,J18,K17,L16,M15)</f>
        <v>1111</v>
      </c>
      <c r="X17" s="20">
        <f t="shared" si="8"/>
        <v>1</v>
      </c>
      <c r="Y17" s="20">
        <f t="shared" si="9"/>
        <v>0</v>
      </c>
    </row>
    <row r="18" spans="8:25" ht="50.25" customHeight="1" x14ac:dyDescent="0.25">
      <c r="H18" s="25"/>
      <c r="I18" s="25">
        <v>1</v>
      </c>
      <c r="J18" s="25">
        <v>1</v>
      </c>
      <c r="K18" s="25">
        <v>1</v>
      </c>
      <c r="L18" s="25">
        <v>1</v>
      </c>
      <c r="M18" s="25">
        <v>1</v>
      </c>
      <c r="N18" s="25">
        <v>0</v>
      </c>
      <c r="O18" s="23" t="str">
        <f t="shared" si="3"/>
        <v>111110</v>
      </c>
      <c r="P18" s="26">
        <f t="shared" si="4"/>
        <v>1</v>
      </c>
      <c r="Q18" s="26">
        <f t="shared" si="5"/>
        <v>0</v>
      </c>
      <c r="T18" s="20">
        <f t="shared" si="6"/>
        <v>0</v>
      </c>
      <c r="U18" s="20">
        <f t="shared" si="7"/>
        <v>0</v>
      </c>
      <c r="V18" s="20" t="str">
        <f>CONCATENATE(H15,I16,J17,K18,L19,M20)</f>
        <v>111</v>
      </c>
      <c r="W18" s="20" t="str">
        <f>CONCATENATE(I20,J19,K18,L17,M16,N15)</f>
        <v>11110</v>
      </c>
      <c r="X18" s="20">
        <f t="shared" si="8"/>
        <v>1</v>
      </c>
      <c r="Y18" s="20">
        <f t="shared" si="9"/>
        <v>0</v>
      </c>
    </row>
    <row r="19" spans="8:25" ht="50.25" customHeight="1" x14ac:dyDescent="0.25">
      <c r="H19" s="25">
        <v>1</v>
      </c>
      <c r="I19" s="25">
        <v>1</v>
      </c>
      <c r="J19" s="25">
        <v>1</v>
      </c>
      <c r="K19" s="25">
        <v>1</v>
      </c>
      <c r="L19" s="25">
        <v>1</v>
      </c>
      <c r="M19" s="25">
        <v>1</v>
      </c>
      <c r="N19" s="20">
        <v>0</v>
      </c>
      <c r="O19" s="23" t="str">
        <f t="shared" si="3"/>
        <v>1111110</v>
      </c>
      <c r="P19" s="26">
        <f t="shared" si="4"/>
        <v>1</v>
      </c>
      <c r="Q19" s="26">
        <f t="shared" si="5"/>
        <v>0</v>
      </c>
      <c r="T19" s="20">
        <f t="shared" si="6"/>
        <v>1</v>
      </c>
      <c r="U19" s="20">
        <f t="shared" si="7"/>
        <v>0</v>
      </c>
      <c r="V19" s="20" t="str">
        <f>CONCATENATE(H16,I17,J18,K19,L20)</f>
        <v>1111</v>
      </c>
      <c r="W19" s="20" t="str">
        <f>CONCATENATE(J20,K19,L18,M17,N16)</f>
        <v>11110</v>
      </c>
      <c r="X19" s="20">
        <f t="shared" si="8"/>
        <v>1</v>
      </c>
      <c r="Y19" s="20">
        <f t="shared" si="9"/>
        <v>0</v>
      </c>
    </row>
    <row r="20" spans="8:25" ht="50.25" customHeight="1" x14ac:dyDescent="0.25">
      <c r="H20" s="20">
        <v>1</v>
      </c>
      <c r="I20" s="20">
        <v>1</v>
      </c>
      <c r="J20" s="20">
        <v>1</v>
      </c>
      <c r="K20" s="20">
        <v>1</v>
      </c>
      <c r="L20" s="20">
        <v>1</v>
      </c>
      <c r="M20" s="20">
        <v>1</v>
      </c>
      <c r="N20" s="20">
        <v>0</v>
      </c>
      <c r="O20" s="23" t="str">
        <f>CONCATENATE(H20,I20,J20,K20,L20,M20,N20)</f>
        <v>1111110</v>
      </c>
      <c r="P20" s="26">
        <f t="shared" si="4"/>
        <v>1</v>
      </c>
      <c r="Q20" s="26">
        <f t="shared" si="5"/>
        <v>0</v>
      </c>
      <c r="T20" s="20">
        <f t="shared" si="6"/>
        <v>0</v>
      </c>
      <c r="U20" s="20">
        <f t="shared" si="7"/>
        <v>0</v>
      </c>
      <c r="V20" s="20" t="str">
        <f>CONCATENATE(H17,I18,J19,K20)</f>
        <v>111</v>
      </c>
      <c r="W20" s="20" t="str">
        <f>CONCATENATE(K20,L19,M18,N17)</f>
        <v>1111</v>
      </c>
      <c r="X20" s="20">
        <f t="shared" si="8"/>
        <v>1</v>
      </c>
      <c r="Y20" s="20">
        <f t="shared" si="9"/>
        <v>0</v>
      </c>
    </row>
  </sheetData>
  <dataConsolidate/>
  <mergeCells count="3">
    <mergeCell ref="B3:E3"/>
    <mergeCell ref="B5:C5"/>
    <mergeCell ref="B6:C6"/>
  </mergeCells>
  <phoneticPr fontId="6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Screen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</dc:creator>
  <cp:lastModifiedBy>K</cp:lastModifiedBy>
  <cp:lastPrinted>2022-05-22T20:32:18Z</cp:lastPrinted>
  <dcterms:created xsi:type="dcterms:W3CDTF">2022-05-14T19:29:14Z</dcterms:created>
  <dcterms:modified xsi:type="dcterms:W3CDTF">2022-06-08T09:40:06Z</dcterms:modified>
</cp:coreProperties>
</file>